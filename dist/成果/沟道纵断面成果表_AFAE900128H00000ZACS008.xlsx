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纵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_ "/>
    <numFmt numFmtId="165" formatCode="0.0"/>
    <numFmt numFmtId="166" formatCode="0.000"/>
    <numFmt numFmtId="167" formatCode="0.00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  <xf numFmtId="167" fontId="0" fillId="0" borderId="9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27"/>
  <sheetViews>
    <sheetView tabSelected="1" workbookViewId="0">
      <selection activeCell="H22" sqref="H22"/>
    </sheetView>
  </sheetViews>
  <sheetFormatPr baseColWidth="8" defaultColWidth="9" defaultRowHeight="14"/>
  <cols>
    <col width="18.81640625" customWidth="1" min="1" max="1"/>
    <col width="26.7265625" customWidth="1" min="2" max="2"/>
    <col width="19.6328125" customWidth="1" min="3" max="3"/>
    <col width="19.7265625" bestFit="1" customWidth="1" min="4" max="4"/>
    <col width="16.6328125" customWidth="1" min="5" max="5"/>
    <col width="15.08984375" customWidth="1" min="6" max="6"/>
    <col width="12.7265625" customWidth="1" min="7" max="7"/>
    <col width="15" bestFit="1" customWidth="1" min="8" max="8"/>
  </cols>
  <sheetData>
    <row r="1">
      <c r="A1" s="11" t="inlineStr">
        <is>
          <t>沟道纵断面测量成果表</t>
        </is>
      </c>
    </row>
    <row r="2">
      <c r="A2" s="2" t="inlineStr">
        <is>
          <t>1.所在位置</t>
        </is>
      </c>
      <c r="B2" s="5" t="inlineStr">
        <is>
          <t>瑞昌市桂林街道办事处常丰村下汪村</t>
        </is>
      </c>
      <c r="C2" s="2" t="inlineStr">
        <is>
          <t>2.断面类别</t>
        </is>
      </c>
      <c r="D2" s="13" t="inlineStr">
        <is>
          <t>A</t>
        </is>
      </c>
      <c r="E2" s="15" t="n"/>
      <c r="F2" s="15" t="n"/>
      <c r="G2" s="15" t="n"/>
      <c r="H2" s="16" t="n"/>
    </row>
    <row r="3">
      <c r="A3" s="2" t="inlineStr">
        <is>
          <t>3.所在沟道</t>
        </is>
      </c>
      <c r="B3" s="13" t="inlineStr">
        <is>
          <t>瀼河</t>
        </is>
      </c>
      <c r="C3" s="2" t="inlineStr">
        <is>
          <t>4.河流代码</t>
        </is>
      </c>
      <c r="D3" s="14" t="inlineStr">
        <is>
          <t>AFAE900128H00000Z</t>
        </is>
      </c>
      <c r="E3" s="15" t="n"/>
      <c r="F3" s="15" t="n"/>
      <c r="G3" s="15" t="n"/>
      <c r="H3" s="16" t="n"/>
    </row>
    <row r="4">
      <c r="A4" s="2" t="inlineStr">
        <is>
          <t>5.断面名称</t>
        </is>
      </c>
      <c r="B4" s="13" t="inlineStr">
        <is>
          <t>瀼河CS008</t>
        </is>
      </c>
      <c r="C4" s="2" t="inlineStr">
        <is>
          <t>6.行政区划代码</t>
        </is>
      </c>
      <c r="D4" s="14" t="inlineStr">
        <is>
          <t>360481002209110</t>
        </is>
      </c>
      <c r="E4" s="15" t="n"/>
      <c r="F4" s="15" t="n"/>
      <c r="G4" s="15" t="n"/>
      <c r="H4" s="16" t="n"/>
    </row>
    <row r="5">
      <c r="A5" s="2" t="inlineStr">
        <is>
          <t>7.是否跨县</t>
        </is>
      </c>
      <c r="B5" s="13" t="inlineStr">
        <is>
          <t>否</t>
        </is>
      </c>
      <c r="C5" s="2" t="inlineStr">
        <is>
          <t>8.控制点经度(°)</t>
        </is>
      </c>
      <c r="D5" s="13" t="n">
        <v>115.597966</v>
      </c>
      <c r="E5" s="15" t="n"/>
      <c r="F5" s="15" t="n"/>
      <c r="G5" s="15" t="n"/>
      <c r="H5" s="16" t="n"/>
    </row>
    <row r="6" ht="15" customHeight="1">
      <c r="A6" s="2" t="inlineStr">
        <is>
          <t>9.控制点纬度（°）</t>
        </is>
      </c>
      <c r="B6" s="13" t="n">
        <v>29.59669</v>
      </c>
      <c r="C6" s="2" t="inlineStr">
        <is>
          <t>10.控制点高程(m)</t>
        </is>
      </c>
      <c r="D6" s="17" t="n">
        <v>28.433</v>
      </c>
      <c r="E6" s="15" t="n"/>
      <c r="F6" s="15" t="n"/>
      <c r="G6" s="15" t="n"/>
      <c r="H6" s="16" t="n"/>
    </row>
    <row r="7" ht="15" customHeight="1">
      <c r="A7" s="2" t="inlineStr">
        <is>
          <t>11.高程系</t>
        </is>
      </c>
      <c r="B7" s="7" t="inlineStr">
        <is>
          <t>85高程系</t>
        </is>
      </c>
      <c r="C7" s="2" t="inlineStr">
        <is>
          <t>12.测量方法</t>
        </is>
      </c>
      <c r="D7" s="7" t="inlineStr">
        <is>
          <t>GNSS RTK测量法</t>
        </is>
      </c>
      <c r="E7" s="15" t="n"/>
      <c r="F7" s="15" t="n"/>
      <c r="G7" s="15" t="n"/>
      <c r="H7" s="16" t="n"/>
    </row>
    <row r="8">
      <c r="A8" s="8" t="inlineStr">
        <is>
          <t>断面特征点</t>
        </is>
      </c>
      <c r="B8" s="15" t="n"/>
      <c r="C8" s="15" t="n"/>
      <c r="D8" s="15" t="n"/>
      <c r="E8" s="15" t="n"/>
      <c r="F8" s="15" t="n"/>
      <c r="G8" s="15" t="n"/>
      <c r="H8" s="16" t="n"/>
    </row>
    <row r="9">
      <c r="A9" s="8" t="inlineStr">
        <is>
          <t>垂线号</t>
        </is>
      </c>
      <c r="B9" s="8" t="inlineStr">
        <is>
          <t>测量点</t>
        </is>
      </c>
      <c r="C9" s="9" t="inlineStr">
        <is>
          <t>断面信息</t>
        </is>
      </c>
      <c r="D9" s="15" t="n"/>
      <c r="E9" s="15" t="n"/>
      <c r="F9" s="15" t="n"/>
      <c r="G9" s="15" t="n"/>
      <c r="H9" s="16" t="n"/>
    </row>
    <row r="10">
      <c r="A10" s="18" t="n"/>
      <c r="B10" s="18" t="n"/>
      <c r="C10" s="2" t="inlineStr">
        <is>
          <t>13.距离(m)</t>
        </is>
      </c>
      <c r="D10" s="2" t="inlineStr">
        <is>
          <t>14.量距方向(°)</t>
        </is>
      </c>
      <c r="E10" s="4" t="inlineStr">
        <is>
          <t>15.河底高程(m)</t>
        </is>
      </c>
      <c r="F10" s="2" t="inlineStr">
        <is>
          <t>16.水面高程(m)</t>
        </is>
      </c>
      <c r="G10" s="2" t="inlineStr">
        <is>
          <t>17.经度(°)</t>
        </is>
      </c>
      <c r="H10" s="2" t="inlineStr">
        <is>
          <t>18.纬度(°)</t>
        </is>
      </c>
    </row>
    <row r="11">
      <c r="A11" s="19" t="n">
        <v>1</v>
      </c>
      <c r="B11" s="19" t="inlineStr">
        <is>
          <t>起点</t>
        </is>
      </c>
      <c r="C11" s="20" t="n">
        <v>0</v>
      </c>
      <c r="D11" s="21" t="n">
        <v>0</v>
      </c>
      <c r="E11" s="22" t="n">
        <v>23.529</v>
      </c>
      <c r="F11" s="22" t="n">
        <v>23.87076755124311</v>
      </c>
      <c r="G11" s="23" t="n">
        <v>115.593211</v>
      </c>
      <c r="H11" s="23" t="n">
        <v>29.595781</v>
      </c>
    </row>
    <row r="12">
      <c r="A12" s="19" t="n">
        <v>2</v>
      </c>
      <c r="B12" s="19" t="inlineStr">
        <is>
          <t>测点1</t>
        </is>
      </c>
      <c r="C12" s="20" t="n">
        <v>55.9</v>
      </c>
      <c r="D12" s="21" t="n">
        <v>20.2</v>
      </c>
      <c r="E12" s="22" t="n">
        <v>23.459</v>
      </c>
      <c r="F12" s="22" t="n">
        <v>23.79833086099942</v>
      </c>
      <c r="G12" s="23" t="n">
        <v>115.59375</v>
      </c>
      <c r="H12" s="23" t="n">
        <v>29.595961</v>
      </c>
    </row>
    <row r="13">
      <c r="A13" s="19" t="n">
        <v>3</v>
      </c>
      <c r="B13" s="19" t="inlineStr">
        <is>
          <t>测点2</t>
        </is>
      </c>
      <c r="C13" s="20" t="n">
        <v>69.2</v>
      </c>
      <c r="D13" s="21" t="n">
        <v>21</v>
      </c>
      <c r="E13" s="22" t="n">
        <v>23.394</v>
      </c>
      <c r="F13" s="22" t="n">
        <v>23.50120456517454</v>
      </c>
      <c r="G13" s="23" t="n">
        <v>115.594413</v>
      </c>
      <c r="H13" s="23" t="n">
        <v>29.596191</v>
      </c>
    </row>
    <row r="14">
      <c r="A14" s="19" t="n">
        <v>4</v>
      </c>
      <c r="B14" s="19" t="inlineStr">
        <is>
          <t>测点3</t>
        </is>
      </c>
      <c r="C14" s="20" t="n">
        <v>78.3</v>
      </c>
      <c r="D14" s="21" t="n">
        <v>10.7</v>
      </c>
      <c r="E14" s="22" t="n">
        <v>23.394</v>
      </c>
      <c r="F14" s="22" t="n">
        <v>23.88351912083218</v>
      </c>
      <c r="G14" s="23" t="n">
        <v>115.595206</v>
      </c>
      <c r="H14" s="23" t="n">
        <v>29.596331</v>
      </c>
    </row>
    <row r="15">
      <c r="A15" s="19" t="n">
        <v>5</v>
      </c>
      <c r="B15" s="19" t="inlineStr">
        <is>
          <t>测点4</t>
        </is>
      </c>
      <c r="C15" s="20" t="n">
        <v>55</v>
      </c>
      <c r="D15" s="21" t="n">
        <v>18.6</v>
      </c>
      <c r="E15" s="22" t="n">
        <v>23.368</v>
      </c>
      <c r="F15" s="22" t="n">
        <v>23.81935010732908</v>
      </c>
      <c r="G15" s="23" t="n">
        <v>115.595742</v>
      </c>
      <c r="H15" s="23" t="n">
        <v>29.596495</v>
      </c>
    </row>
    <row r="16">
      <c r="A16" s="19" t="n">
        <v>6</v>
      </c>
      <c r="B16" s="19" t="inlineStr">
        <is>
          <t>测点5</t>
        </is>
      </c>
      <c r="C16" s="20" t="n">
        <v>73.40000000000001</v>
      </c>
      <c r="D16" s="21" t="n">
        <v>16.9</v>
      </c>
      <c r="E16" s="22" t="n">
        <v>23.269</v>
      </c>
      <c r="F16" s="22" t="n">
        <v>23.57974374918334</v>
      </c>
      <c r="G16" s="23" t="n">
        <v>115.596463</v>
      </c>
      <c r="H16" s="23" t="n">
        <v>29.596695</v>
      </c>
    </row>
    <row r="17">
      <c r="A17" s="19" t="n">
        <v>7</v>
      </c>
      <c r="B17" s="19" t="inlineStr">
        <is>
          <t>测点6</t>
        </is>
      </c>
      <c r="C17" s="20" t="n">
        <v>59.5</v>
      </c>
      <c r="D17" s="21" t="n">
        <v>22.3</v>
      </c>
      <c r="E17" s="22" t="n">
        <v>23.211</v>
      </c>
      <c r="F17" s="22" t="n">
        <v>23.25623480629692</v>
      </c>
      <c r="G17" s="23" t="n">
        <v>115.597029</v>
      </c>
      <c r="H17" s="23" t="n">
        <v>29.596905</v>
      </c>
    </row>
    <row r="18">
      <c r="A18" s="19" t="n">
        <v>8</v>
      </c>
      <c r="B18" s="19" t="inlineStr">
        <is>
          <t>测点7</t>
        </is>
      </c>
      <c r="C18" s="20" t="n">
        <v>60.8</v>
      </c>
      <c r="D18" s="21" t="n">
        <v>10.1</v>
      </c>
      <c r="E18" s="22" t="n">
        <v>23.128</v>
      </c>
      <c r="F18" s="22" t="n">
        <v>23.27095536734608</v>
      </c>
      <c r="G18" s="23" t="n">
        <v>115.597645</v>
      </c>
      <c r="H18" s="23" t="n">
        <v>29.597008</v>
      </c>
    </row>
    <row r="19">
      <c r="A19" s="19" t="n">
        <v>9</v>
      </c>
      <c r="B19" s="19" t="inlineStr">
        <is>
          <t>测点8</t>
        </is>
      </c>
      <c r="C19" s="20" t="n">
        <v>50.9</v>
      </c>
      <c r="D19" s="21" t="n">
        <v>23.4</v>
      </c>
      <c r="E19" s="22" t="n">
        <v>22.95</v>
      </c>
      <c r="F19" s="22" t="n">
        <v>23.06948661208403</v>
      </c>
      <c r="G19" s="23" t="n">
        <v>115.598124</v>
      </c>
      <c r="H19" s="23" t="n">
        <v>29.597195</v>
      </c>
    </row>
    <row r="20">
      <c r="A20" s="19" t="n">
        <v>10</v>
      </c>
      <c r="B20" s="19" t="inlineStr">
        <is>
          <t>测点9</t>
        </is>
      </c>
      <c r="C20" s="20" t="n">
        <v>24.5</v>
      </c>
      <c r="D20" s="21" t="n">
        <v>13.6</v>
      </c>
      <c r="E20" s="22" t="n">
        <v>22.751</v>
      </c>
      <c r="F20" s="22" t="n">
        <v>22.91131792168299</v>
      </c>
      <c r="G20" s="23" t="n">
        <v>115.59837</v>
      </c>
      <c r="H20" s="23" t="n">
        <v>29.59725</v>
      </c>
    </row>
    <row r="21">
      <c r="A21" s="19" t="n">
        <v>11</v>
      </c>
      <c r="B21" s="19" t="inlineStr">
        <is>
          <t>测点10</t>
        </is>
      </c>
      <c r="C21" s="20" t="n">
        <v>58</v>
      </c>
      <c r="D21" s="21" t="n">
        <v>15.4</v>
      </c>
      <c r="E21" s="22" t="n">
        <v>22.658</v>
      </c>
      <c r="F21" s="22" t="n">
        <v>22.95414399711964</v>
      </c>
      <c r="G21" s="23" t="n">
        <v>115.598945</v>
      </c>
      <c r="H21" s="23" t="n">
        <v>29.597395</v>
      </c>
    </row>
    <row r="22">
      <c r="A22" s="19" t="n">
        <v>12</v>
      </c>
      <c r="B22" s="19" t="inlineStr">
        <is>
          <t>测点11</t>
        </is>
      </c>
      <c r="C22" s="20" t="n">
        <v>62.4</v>
      </c>
      <c r="D22" s="21" t="n">
        <v>17.9</v>
      </c>
      <c r="E22" s="22" t="n">
        <v>22.457</v>
      </c>
      <c r="F22" s="22" t="n">
        <v>22.71440972173414</v>
      </c>
      <c r="G22" s="23" t="n">
        <v>115.599555</v>
      </c>
      <c r="H22" s="23" t="n">
        <v>29.597575</v>
      </c>
    </row>
    <row r="23">
      <c r="A23" s="19" t="n">
        <v>13</v>
      </c>
      <c r="B23" s="19" t="inlineStr">
        <is>
          <t>测点12</t>
        </is>
      </c>
      <c r="C23" s="20" t="n">
        <v>57.5</v>
      </c>
      <c r="D23" s="21" t="n">
        <v>17.3</v>
      </c>
      <c r="E23" s="22" t="n">
        <v>22.416</v>
      </c>
      <c r="F23" s="22" t="n">
        <v>22.4333441695458</v>
      </c>
      <c r="G23" s="23" t="n">
        <v>115.60012</v>
      </c>
      <c r="H23" s="23" t="n">
        <v>29.597735</v>
      </c>
    </row>
    <row r="24">
      <c r="A24" s="19" t="n">
        <v>14</v>
      </c>
      <c r="B24" s="19" t="inlineStr">
        <is>
          <t>测点13</t>
        </is>
      </c>
      <c r="C24" s="20" t="n">
        <v>53.1</v>
      </c>
      <c r="D24" s="21" t="n">
        <v>25.9</v>
      </c>
      <c r="E24" s="22" t="n">
        <v>22.401</v>
      </c>
      <c r="F24" s="22" t="n">
        <v>22.41582234828336</v>
      </c>
      <c r="G24" s="23" t="n">
        <v>115.60061</v>
      </c>
      <c r="H24" s="23" t="n">
        <v>29.597949</v>
      </c>
    </row>
    <row r="25">
      <c r="A25" s="19" t="n">
        <v>15</v>
      </c>
      <c r="B25" s="19" t="inlineStr">
        <is>
          <t>测点14</t>
        </is>
      </c>
      <c r="C25" s="20" t="n">
        <v>60.4</v>
      </c>
      <c r="D25" s="21" t="n">
        <v>33.7</v>
      </c>
      <c r="E25" s="22" t="n">
        <v>22.322</v>
      </c>
      <c r="F25" s="22" t="n">
        <v>22.35855617849879</v>
      </c>
      <c r="G25" s="23" t="n">
        <v>115.601124</v>
      </c>
      <c r="H25" s="23" t="n">
        <v>29.598257</v>
      </c>
    </row>
    <row r="26">
      <c r="A26" s="19" t="n">
        <v>16</v>
      </c>
      <c r="B26" s="19" t="inlineStr">
        <is>
          <t>测点15</t>
        </is>
      </c>
      <c r="C26" s="20" t="n">
        <v>73.2</v>
      </c>
      <c r="D26" s="21" t="n">
        <v>32.2</v>
      </c>
      <c r="E26" s="22" t="n">
        <v>22.268</v>
      </c>
      <c r="F26" s="22" t="n">
        <v>22.29787354436128</v>
      </c>
      <c r="G26" s="23" t="n">
        <v>115.601758</v>
      </c>
      <c r="H26" s="23" t="n">
        <v>29.598615</v>
      </c>
    </row>
    <row r="27">
      <c r="A27" s="19" t="n">
        <v>17</v>
      </c>
      <c r="B27" s="19" t="inlineStr">
        <is>
          <t>测点16</t>
        </is>
      </c>
      <c r="C27" s="20" t="n">
        <v>48.4</v>
      </c>
      <c r="D27" s="21" t="n">
        <v>25</v>
      </c>
      <c r="E27" s="22" t="n">
        <v>22.238</v>
      </c>
      <c r="F27" s="22" t="n">
        <v>22.28443064595241</v>
      </c>
      <c r="G27" s="23" t="n">
        <v>115.602209</v>
      </c>
      <c r="H27" s="23" t="n">
        <v>29.598804</v>
      </c>
    </row>
  </sheetData>
  <mergeCells count="11">
    <mergeCell ref="B9:B10"/>
    <mergeCell ref="D7:H7"/>
    <mergeCell ref="D6:H6"/>
    <mergeCell ref="A9:A10"/>
    <mergeCell ref="D2:H2"/>
    <mergeCell ref="C9:H9"/>
    <mergeCell ref="D5:H5"/>
    <mergeCell ref="A1:H1"/>
    <mergeCell ref="D4:H4"/>
    <mergeCell ref="A8:H8"/>
    <mergeCell ref="D3:H3"/>
  </mergeCells>
  <dataValidations count="4">
    <dataValidation sqref="D2:H2" showDropDown="0" showInputMessage="1" showErrorMessage="1" allowBlank="1" type="list">
      <formula1>"A,B"</formula1>
    </dataValidation>
    <dataValidation sqref="B5" showDropDown="0" showInputMessage="1" showErrorMessage="1" allowBlank="1" type="list">
      <formula1>"是,否"</formula1>
    </dataValidation>
    <dataValidation sqref="B7" showDropDown="0" showInputMessage="1" showErrorMessage="1" allowBlank="1" type="list">
      <formula1>"85高程系,假定高程系"</formula1>
    </dataValidation>
    <dataValidation sqref="D7:H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2026-05-15T09:27:55Z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8A5FE672FC214BB8B7227C21506E5987_13</vt:lpwstr>
  </property>
  <property name="KSOProductBuildVer" fmtid="{D5CDD505-2E9C-101B-9397-08002B2CF9AE}" pid="3">
    <vt:lpwstr>2052-12.8.2.18205</vt:lpwstr>
  </property>
</Properties>
</file>