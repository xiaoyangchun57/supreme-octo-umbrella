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九江县涌泉乡涌泉村涌泉洞</t>
        </is>
      </c>
      <c r="C2" s="20" t="n"/>
      <c r="D2" s="1" t="inlineStr">
        <is>
          <t>2.行政区划代码</t>
        </is>
      </c>
      <c r="E2" s="15" t="inlineStr">
        <is>
          <t>360421201203102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41.224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115.643919</v>
      </c>
      <c r="C8" s="20" t="n"/>
      <c r="D8" s="1" t="inlineStr">
        <is>
          <t>14.基点纬度(°)</t>
        </is>
      </c>
      <c r="E8" s="31" t="n">
        <v>29.61368</v>
      </c>
      <c r="F8" s="21" t="n"/>
      <c r="G8" s="20" t="n"/>
    </row>
    <row r="9">
      <c r="A9" s="1" t="inlineStr">
        <is>
          <t>15.断面方位角(°)</t>
        </is>
      </c>
      <c r="B9" s="32" t="n">
        <v>67.4315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41.224</v>
      </c>
      <c r="E13" s="35" t="n">
        <v>115.643919</v>
      </c>
      <c r="F13" s="35" t="n">
        <v>29.61368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0.8</v>
      </c>
      <c r="D14" s="34" t="n">
        <v>41.23</v>
      </c>
      <c r="E14" s="35" t="n">
        <v>115.643926</v>
      </c>
      <c r="F14" s="35" t="n">
        <v>29.613682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8.9</v>
      </c>
      <c r="D15" s="34" t="n">
        <v>41.301</v>
      </c>
      <c r="E15" s="35" t="n">
        <v>115.644003</v>
      </c>
      <c r="F15" s="35" t="n">
        <v>29.61371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11.1</v>
      </c>
      <c r="D16" s="34" t="n">
        <v>41.125</v>
      </c>
      <c r="E16" s="35" t="n">
        <v>115.644025</v>
      </c>
      <c r="F16" s="35" t="n">
        <v>29.613718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14.1</v>
      </c>
      <c r="D17" s="34" t="n">
        <v>40.603</v>
      </c>
      <c r="E17" s="35" t="n">
        <v>115.644053</v>
      </c>
      <c r="F17" s="35" t="n">
        <v>29.613728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17.4</v>
      </c>
      <c r="D18" s="34" t="n">
        <v>37.261</v>
      </c>
      <c r="E18" s="35" t="n">
        <v>115.644084</v>
      </c>
      <c r="F18" s="35" t="n">
        <v>29.613739</v>
      </c>
      <c r="G18" s="26" t="inlineStr"/>
    </row>
    <row r="19">
      <c r="A19" s="26" t="n">
        <v>7</v>
      </c>
      <c r="B19" s="26" t="inlineStr">
        <is>
          <t>SD1</t>
        </is>
      </c>
      <c r="C19" s="33" t="n">
        <v>22.5</v>
      </c>
      <c r="D19" s="34" t="n">
        <v>37.061</v>
      </c>
      <c r="E19" s="35" t="n">
        <v>115.644134</v>
      </c>
      <c r="F19" s="35" t="n">
        <v>29.613757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24.9</v>
      </c>
      <c r="D20" s="34" t="n">
        <v>37.022</v>
      </c>
      <c r="E20" s="35" t="n">
        <v>115.644156</v>
      </c>
      <c r="F20" s="35" t="n">
        <v>29.613765</v>
      </c>
      <c r="G20" s="26" t="inlineStr"/>
    </row>
    <row r="21">
      <c r="A21" s="26" t="n">
        <v>9</v>
      </c>
      <c r="B21" s="26" t="inlineStr">
        <is>
          <t>SD</t>
        </is>
      </c>
      <c r="C21" s="33" t="n">
        <v>26</v>
      </c>
      <c r="D21" s="34" t="n">
        <v>37.03</v>
      </c>
      <c r="E21" s="35" t="n">
        <v>115.644167</v>
      </c>
      <c r="F21" s="35" t="n">
        <v>29.613769</v>
      </c>
      <c r="G21" s="26" t="inlineStr"/>
    </row>
    <row r="22">
      <c r="A22" s="26" t="n">
        <v>10</v>
      </c>
      <c r="B22" s="26" t="inlineStr">
        <is>
          <t>YDJ</t>
        </is>
      </c>
      <c r="C22" s="33" t="n">
        <v>29.3</v>
      </c>
      <c r="D22" s="34" t="n">
        <v>37.187</v>
      </c>
      <c r="E22" s="35" t="n">
        <v>115.644198</v>
      </c>
      <c r="F22" s="35" t="n">
        <v>29.613781</v>
      </c>
      <c r="G22" s="26" t="inlineStr"/>
    </row>
    <row r="23">
      <c r="A23" s="26" t="n">
        <v>11</v>
      </c>
      <c r="B23" s="26" t="inlineStr">
        <is>
          <t>右堤顶</t>
        </is>
      </c>
      <c r="C23" s="33" t="n">
        <v>34.8</v>
      </c>
      <c r="D23" s="34" t="n">
        <v>40.738</v>
      </c>
      <c r="E23" s="35" t="n">
        <v>115.644251</v>
      </c>
      <c r="F23" s="35" t="n">
        <v>29.6138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42</v>
      </c>
      <c r="D24" s="34" t="n">
        <v>40.908</v>
      </c>
      <c r="E24" s="35" t="n">
        <v>115.64432</v>
      </c>
      <c r="F24" s="35" t="n">
        <v>29.613824</v>
      </c>
      <c r="G24" s="26" t="inlineStr"/>
    </row>
    <row r="25">
      <c r="A25" s="26" t="n">
        <v>13</v>
      </c>
      <c r="B25" s="26" t="inlineStr">
        <is>
          <t>XX0</t>
        </is>
      </c>
      <c r="C25" s="33" t="n">
        <v>45.2</v>
      </c>
      <c r="D25" s="34" t="n">
        <v>40.655</v>
      </c>
      <c r="E25" s="35" t="n">
        <v>115.64435</v>
      </c>
      <c r="F25" s="35" t="n">
        <v>29.613835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46.8</v>
      </c>
      <c r="D26" s="34" t="n">
        <v>41.161</v>
      </c>
      <c r="E26" s="35" t="n">
        <v>115.644365</v>
      </c>
      <c r="F26" s="35" t="n">
        <v>29.613841</v>
      </c>
      <c r="G26" s="26" t="inlineStr"/>
    </row>
    <row r="27">
      <c r="A27" s="26" t="n">
        <v>15</v>
      </c>
      <c r="B27" s="26" t="inlineStr">
        <is>
          <t>YJ</t>
        </is>
      </c>
      <c r="C27" s="33" t="n">
        <v>59.3</v>
      </c>
      <c r="D27" s="34" t="n">
        <v>41.525</v>
      </c>
      <c r="E27" s="35" t="n">
        <v>115.644485</v>
      </c>
      <c r="F27" s="35" t="n">
        <v>29.613884</v>
      </c>
      <c r="G27" s="26" t="inlineStr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