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九江县涌泉乡涌泉村文家坝</t>
        </is>
      </c>
      <c r="C2" s="20" t="n"/>
      <c r="D2" s="1" t="inlineStr">
        <is>
          <t>2.行政区划代码</t>
        </is>
      </c>
      <c r="E2" s="15" t="inlineStr">
        <is>
          <t>360421201203100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戴山水CS009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42.859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115.640392</v>
      </c>
      <c r="C8" s="20" t="n"/>
      <c r="D8" s="1" t="inlineStr">
        <is>
          <t>14.基点纬度(°)</t>
        </is>
      </c>
      <c r="E8" s="31" t="n">
        <v>29.612189</v>
      </c>
      <c r="F8" s="21" t="n"/>
      <c r="G8" s="20" t="n"/>
    </row>
    <row r="9">
      <c r="A9" s="1" t="inlineStr">
        <is>
          <t>15.断面方位角(°)</t>
        </is>
      </c>
      <c r="B9" s="32" t="n">
        <v>27.0979</v>
      </c>
      <c r="C9" s="20" t="n"/>
      <c r="D9" s="1" t="inlineStr">
        <is>
          <t>16.历史最高水位(m)</t>
        </is>
      </c>
      <c r="E9" s="30" t="n">
        <v>39.207</v>
      </c>
      <c r="F9" s="21" t="n"/>
      <c r="G9" s="20" t="n"/>
    </row>
    <row r="10" ht="15.75" customHeight="1">
      <c r="A10" s="1" t="inlineStr">
        <is>
          <t>17.成灾水位(m)</t>
        </is>
      </c>
      <c r="B10" s="30" t="n">
        <v>37.762</v>
      </c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42.859</v>
      </c>
      <c r="E13" s="35" t="n">
        <v>115.640392</v>
      </c>
      <c r="F13" s="35" t="n">
        <v>29.612189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36.5</v>
      </c>
      <c r="D14" s="34" t="n">
        <v>42.315</v>
      </c>
      <c r="E14" s="35" t="n">
        <v>115.640564</v>
      </c>
      <c r="F14" s="35" t="n">
        <v>29.612482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62.7</v>
      </c>
      <c r="D15" s="34" t="n">
        <v>40.626</v>
      </c>
      <c r="E15" s="35" t="n">
        <v>115.640688</v>
      </c>
      <c r="F15" s="35" t="n">
        <v>29.612692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125.9</v>
      </c>
      <c r="D16" s="34" t="n">
        <v>40.431</v>
      </c>
      <c r="E16" s="35" t="n">
        <v>115.640986</v>
      </c>
      <c r="F16" s="35" t="n">
        <v>29.613199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187.4</v>
      </c>
      <c r="D17" s="34" t="n">
        <v>40.036</v>
      </c>
      <c r="E17" s="35" t="n">
        <v>115.641277</v>
      </c>
      <c r="F17" s="35" t="n">
        <v>29.613692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248.2</v>
      </c>
      <c r="D18" s="34" t="n">
        <v>39.52</v>
      </c>
      <c r="E18" s="35" t="n">
        <v>115.641564</v>
      </c>
      <c r="F18" s="35" t="n">
        <v>29.61418</v>
      </c>
      <c r="G18" s="26" t="inlineStr"/>
    </row>
    <row r="19">
      <c r="A19" s="26" t="n">
        <v>7</v>
      </c>
      <c r="B19" s="26" t="inlineStr">
        <is>
          <t>LSH</t>
        </is>
      </c>
      <c r="C19" s="33" t="n">
        <v>265.4</v>
      </c>
      <c r="D19" s="34" t="n">
        <v>39.207</v>
      </c>
      <c r="E19" s="35" t="n">
        <v>115.641645</v>
      </c>
      <c r="F19" s="35" t="n">
        <v>29.614318</v>
      </c>
      <c r="G19" s="26" t="inlineStr"/>
    </row>
    <row r="20">
      <c r="A20" s="26" t="n">
        <v>8</v>
      </c>
      <c r="B20" s="26" t="inlineStr">
        <is>
          <t>ZZS</t>
        </is>
      </c>
      <c r="C20" s="33" t="n">
        <v>299.1</v>
      </c>
      <c r="D20" s="34" t="n">
        <v>37.762</v>
      </c>
      <c r="E20" s="35" t="n">
        <v>115.641804</v>
      </c>
      <c r="F20" s="35" t="n">
        <v>29.614588</v>
      </c>
      <c r="G20" s="26" t="inlineStr"/>
    </row>
    <row r="21">
      <c r="A21" s="26" t="n">
        <v>9</v>
      </c>
      <c r="B21" s="26" t="inlineStr">
        <is>
          <t>左堤顶</t>
        </is>
      </c>
      <c r="C21" s="33" t="n">
        <v>331.4</v>
      </c>
      <c r="D21" s="34" t="n">
        <v>37.635</v>
      </c>
      <c r="E21" s="35" t="n">
        <v>115.641956</v>
      </c>
      <c r="F21" s="35" t="n">
        <v>29.614847</v>
      </c>
      <c r="G21" s="26" t="inlineStr"/>
    </row>
    <row r="22">
      <c r="A22" s="26" t="n">
        <v>10</v>
      </c>
      <c r="B22" s="26" t="inlineStr">
        <is>
          <t>ZDJ</t>
        </is>
      </c>
      <c r="C22" s="33" t="n">
        <v>335.2</v>
      </c>
      <c r="D22" s="34" t="n">
        <v>35.613</v>
      </c>
      <c r="E22" s="35" t="n">
        <v>115.641974</v>
      </c>
      <c r="F22" s="35" t="n">
        <v>29.614877</v>
      </c>
      <c r="G22" s="26" t="inlineStr"/>
    </row>
    <row r="23">
      <c r="A23" s="26" t="n">
        <v>11</v>
      </c>
      <c r="B23" s="26" t="inlineStr">
        <is>
          <t>ZSB</t>
        </is>
      </c>
      <c r="C23" s="33" t="n">
        <v>335.6</v>
      </c>
      <c r="D23" s="34" t="n">
        <v>35.409</v>
      </c>
      <c r="E23" s="35" t="n">
        <v>115.641976</v>
      </c>
      <c r="F23" s="35" t="n">
        <v>29.614881</v>
      </c>
      <c r="G23" s="26" t="inlineStr"/>
    </row>
    <row r="24">
      <c r="A24" s="26" t="n">
        <v>12</v>
      </c>
      <c r="B24" s="26" t="inlineStr">
        <is>
          <t>SD</t>
        </is>
      </c>
      <c r="C24" s="33" t="n">
        <v>336.3</v>
      </c>
      <c r="D24" s="34" t="n">
        <v>35.449</v>
      </c>
      <c r="E24" s="35" t="n">
        <v>115.641979</v>
      </c>
      <c r="F24" s="35" t="n">
        <v>29.614886</v>
      </c>
      <c r="G24" s="26" t="inlineStr"/>
    </row>
    <row r="25">
      <c r="A25" s="26" t="n">
        <v>13</v>
      </c>
      <c r="B25" s="26" t="inlineStr">
        <is>
          <t>SD</t>
        </is>
      </c>
      <c r="C25" s="33" t="n">
        <v>338.8</v>
      </c>
      <c r="D25" s="34" t="n">
        <v>35.206</v>
      </c>
      <c r="E25" s="35" t="n">
        <v>115.641991</v>
      </c>
      <c r="F25" s="35" t="n">
        <v>29.614906</v>
      </c>
      <c r="G25" s="26" t="inlineStr"/>
    </row>
    <row r="26">
      <c r="A26" s="26" t="n">
        <v>14</v>
      </c>
      <c r="B26" s="26" t="inlineStr">
        <is>
          <t>深泓点</t>
        </is>
      </c>
      <c r="C26" s="33" t="n">
        <v>342.5</v>
      </c>
      <c r="D26" s="34" t="n">
        <v>35.192</v>
      </c>
      <c r="E26" s="35" t="n">
        <v>115.642009</v>
      </c>
      <c r="F26" s="35" t="n">
        <v>29.614936</v>
      </c>
      <c r="G26" s="26" t="inlineStr"/>
    </row>
    <row r="27">
      <c r="A27" s="26" t="n">
        <v>15</v>
      </c>
      <c r="B27" s="26" t="inlineStr">
        <is>
          <t>SD</t>
        </is>
      </c>
      <c r="C27" s="33" t="n">
        <v>344.7</v>
      </c>
      <c r="D27" s="34" t="n">
        <v>35.3</v>
      </c>
      <c r="E27" s="35" t="n">
        <v>115.642019</v>
      </c>
      <c r="F27" s="35" t="n">
        <v>29.614954</v>
      </c>
      <c r="G27" s="26" t="inlineStr"/>
    </row>
    <row r="28">
      <c r="A28" s="26" t="n">
        <v>16</v>
      </c>
      <c r="B28" s="26" t="inlineStr">
        <is>
          <t>SD</t>
        </is>
      </c>
      <c r="C28" s="33" t="n">
        <v>347.3</v>
      </c>
      <c r="D28" s="34" t="n">
        <v>35.442</v>
      </c>
      <c r="E28" s="35" t="n">
        <v>115.642031</v>
      </c>
      <c r="F28" s="35" t="n">
        <v>29.614975</v>
      </c>
      <c r="G28" s="26" t="inlineStr"/>
    </row>
    <row r="29">
      <c r="A29" s="26" t="n">
        <v>17</v>
      </c>
      <c r="B29" s="26" t="inlineStr">
        <is>
          <t>YSB</t>
        </is>
      </c>
      <c r="C29" s="33" t="n">
        <v>349.9</v>
      </c>
      <c r="D29" s="34" t="n">
        <v>35.41</v>
      </c>
      <c r="E29" s="35" t="n">
        <v>115.642044</v>
      </c>
      <c r="F29" s="35" t="n">
        <v>29.614995</v>
      </c>
      <c r="G29" s="26" t="inlineStr"/>
    </row>
    <row r="30">
      <c r="A30" s="26" t="n">
        <v>18</v>
      </c>
      <c r="B30" s="26" t="inlineStr">
        <is>
          <t>YDJ</t>
        </is>
      </c>
      <c r="C30" s="33" t="n">
        <v>350.8</v>
      </c>
      <c r="D30" s="34" t="n">
        <v>35.554</v>
      </c>
      <c r="E30" s="35" t="n">
        <v>115.642048</v>
      </c>
      <c r="F30" s="35" t="n">
        <v>29.615003</v>
      </c>
      <c r="G30" s="26" t="inlineStr"/>
    </row>
    <row r="31">
      <c r="A31" s="26" t="n">
        <v>19</v>
      </c>
      <c r="B31" s="26" t="inlineStr">
        <is>
          <t>右堤顶</t>
        </is>
      </c>
      <c r="C31" s="33" t="n">
        <v>356.2</v>
      </c>
      <c r="D31" s="34" t="n">
        <v>37.803</v>
      </c>
      <c r="E31" s="35" t="n">
        <v>115.642073</v>
      </c>
      <c r="F31" s="35" t="n">
        <v>29.615046</v>
      </c>
      <c r="G31" s="26" t="inlineStr"/>
    </row>
    <row r="32">
      <c r="A32" s="26" t="n">
        <v>20</v>
      </c>
      <c r="B32" s="26" t="inlineStr">
        <is>
          <t>XX</t>
        </is>
      </c>
      <c r="C32" s="33" t="n">
        <v>359.2</v>
      </c>
      <c r="D32" s="34" t="n">
        <v>37.907</v>
      </c>
      <c r="E32" s="35" t="n">
        <v>115.642087</v>
      </c>
      <c r="F32" s="35" t="n">
        <v>29.61507</v>
      </c>
      <c r="G32" s="26" t="inlineStr"/>
    </row>
    <row r="33">
      <c r="A33" s="26" t="n">
        <v>21</v>
      </c>
      <c r="B33" s="26" t="inlineStr">
        <is>
          <t>XX</t>
        </is>
      </c>
      <c r="C33" s="33" t="n">
        <v>362</v>
      </c>
      <c r="D33" s="34" t="n">
        <v>39.289</v>
      </c>
      <c r="E33" s="35" t="n">
        <v>115.642101</v>
      </c>
      <c r="F33" s="35" t="n">
        <v>29.615092</v>
      </c>
      <c r="G33" s="26" t="inlineStr"/>
    </row>
    <row r="34">
      <c r="A34" s="26" t="n">
        <v>22</v>
      </c>
      <c r="B34" s="26" t="inlineStr">
        <is>
          <t>YJ</t>
        </is>
      </c>
      <c r="C34" s="33" t="n">
        <v>362.8</v>
      </c>
      <c r="D34" s="34" t="n">
        <v>41.528</v>
      </c>
      <c r="E34" s="35" t="n">
        <v>115.642104</v>
      </c>
      <c r="F34" s="35" t="n">
        <v>29.615099</v>
      </c>
      <c r="G34" s="26" t="inlineStr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