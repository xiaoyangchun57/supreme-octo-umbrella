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纵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_ "/>
    <numFmt numFmtId="165" formatCode="0.0"/>
    <numFmt numFmtId="166" formatCode="0.000"/>
    <numFmt numFmtId="167" formatCode="0.000000"/>
  </numFmts>
  <fonts count="4">
    <font>
      <name val="宋体"/>
      <charset val="134"/>
      <color theme="1"/>
      <sz val="11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1" fillId="0" borderId="1" pivotButton="0" quotePrefix="0" xfId="0"/>
    <xf numFmtId="0" fontId="0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wrapText="1"/>
    </xf>
    <xf numFmtId="0" fontId="0" fillId="0" borderId="1" pivotButton="0" quotePrefix="0" xfId="0"/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49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164" fontId="0" fillId="0" borderId="1" applyAlignment="1" pivotButton="0" quotePrefix="0" xfId="0">
      <alignment horizontal="center"/>
    </xf>
    <xf numFmtId="0" fontId="0" fillId="0" borderId="8" pivotButton="0" quotePrefix="0" xfId="0"/>
    <xf numFmtId="0" fontId="0" fillId="0" borderId="9" applyAlignment="1" pivotButton="0" quotePrefix="0" xfId="0">
      <alignment horizontal="center" vertical="center"/>
    </xf>
    <xf numFmtId="165" fontId="0" fillId="0" borderId="9" applyAlignment="1" pivotButton="0" quotePrefix="0" xfId="0">
      <alignment horizontal="center" vertical="center"/>
    </xf>
    <xf numFmtId="1" fontId="0" fillId="0" borderId="9" applyAlignment="1" pivotButton="0" quotePrefix="0" xfId="0">
      <alignment horizontal="center" vertical="center"/>
    </xf>
    <xf numFmtId="166" fontId="0" fillId="0" borderId="9" applyAlignment="1" pivotButton="0" quotePrefix="0" xfId="0">
      <alignment horizontal="center" vertical="center"/>
    </xf>
    <xf numFmtId="167" fontId="0" fillId="0" borderId="9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56"/>
  <sheetViews>
    <sheetView tabSelected="1" workbookViewId="0">
      <selection activeCell="H22" sqref="H22"/>
    </sheetView>
  </sheetViews>
  <sheetFormatPr baseColWidth="8" defaultColWidth="9" defaultRowHeight="14"/>
  <cols>
    <col width="18.81640625" customWidth="1" min="1" max="1"/>
    <col width="26.7265625" customWidth="1" min="2" max="2"/>
    <col width="19.6328125" customWidth="1" min="3" max="3"/>
    <col width="19.7265625" bestFit="1" customWidth="1" min="4" max="4"/>
    <col width="16.6328125" customWidth="1" min="5" max="5"/>
    <col width="15.08984375" customWidth="1" min="6" max="6"/>
    <col width="12.7265625" customWidth="1" min="7" max="7"/>
    <col width="15" bestFit="1" customWidth="1" min="8" max="8"/>
  </cols>
  <sheetData>
    <row r="1">
      <c r="A1" s="11" t="inlineStr">
        <is>
          <t>沟道纵断面测量成果表</t>
        </is>
      </c>
    </row>
    <row r="2">
      <c r="A2" s="2" t="inlineStr">
        <is>
          <t>1.所在位置</t>
        </is>
      </c>
      <c r="B2" s="5" t="inlineStr">
        <is>
          <t>瑞昌市高丰镇永丰村老屋陈家</t>
        </is>
      </c>
      <c r="C2" s="2" t="inlineStr">
        <is>
          <t>2.断面类别</t>
        </is>
      </c>
      <c r="D2" s="13" t="inlineStr">
        <is>
          <t>A</t>
        </is>
      </c>
      <c r="E2" s="15" t="n"/>
      <c r="F2" s="15" t="n"/>
      <c r="G2" s="15" t="n"/>
      <c r="H2" s="16" t="n"/>
    </row>
    <row r="3">
      <c r="A3" s="2" t="inlineStr">
        <is>
          <t>3.所在沟道</t>
        </is>
      </c>
      <c r="B3" s="13" t="inlineStr">
        <is>
          <t>大冲水</t>
        </is>
      </c>
      <c r="C3" s="2" t="inlineStr">
        <is>
          <t>4.河流代码</t>
        </is>
      </c>
      <c r="D3" s="14" t="inlineStr">
        <is>
          <t>AFAE900121D00000Z</t>
        </is>
      </c>
      <c r="E3" s="15" t="n"/>
      <c r="F3" s="15" t="n"/>
      <c r="G3" s="15" t="n"/>
      <c r="H3" s="16" t="n"/>
    </row>
    <row r="4">
      <c r="A4" s="2" t="inlineStr">
        <is>
          <t>5.断面名称</t>
        </is>
      </c>
      <c r="B4" s="13" t="inlineStr">
        <is>
          <t>大冲水CS004</t>
        </is>
      </c>
      <c r="C4" s="2" t="inlineStr">
        <is>
          <t>6.行政区划代码</t>
        </is>
      </c>
      <c r="D4" s="14" t="inlineStr">
        <is>
          <t>360481106200106</t>
        </is>
      </c>
      <c r="E4" s="15" t="n"/>
      <c r="F4" s="15" t="n"/>
      <c r="G4" s="15" t="n"/>
      <c r="H4" s="16" t="n"/>
    </row>
    <row r="5">
      <c r="A5" s="2" t="inlineStr">
        <is>
          <t>7.是否跨县</t>
        </is>
      </c>
      <c r="B5" s="13" t="inlineStr">
        <is>
          <t>否</t>
        </is>
      </c>
      <c r="C5" s="2" t="inlineStr">
        <is>
          <t>8.控制点经度(°)</t>
        </is>
      </c>
      <c r="D5" s="13" t="n">
        <v>115.567378</v>
      </c>
      <c r="E5" s="15" t="n"/>
      <c r="F5" s="15" t="n"/>
      <c r="G5" s="15" t="n"/>
      <c r="H5" s="16" t="n"/>
    </row>
    <row r="6" ht="15" customHeight="1">
      <c r="A6" s="2" t="inlineStr">
        <is>
          <t>9.控制点纬度（°）</t>
        </is>
      </c>
      <c r="B6" s="13" t="n">
        <v>29.628795</v>
      </c>
      <c r="C6" s="2" t="inlineStr">
        <is>
          <t>10.控制点高程(m)</t>
        </is>
      </c>
      <c r="D6" s="17" t="n">
        <v>36.615</v>
      </c>
      <c r="E6" s="15" t="n"/>
      <c r="F6" s="15" t="n"/>
      <c r="G6" s="15" t="n"/>
      <c r="H6" s="16" t="n"/>
    </row>
    <row r="7" ht="15" customHeight="1">
      <c r="A7" s="2" t="inlineStr">
        <is>
          <t>11.高程系</t>
        </is>
      </c>
      <c r="B7" s="7" t="inlineStr">
        <is>
          <t>85高程系</t>
        </is>
      </c>
      <c r="C7" s="2" t="inlineStr">
        <is>
          <t>12.测量方法</t>
        </is>
      </c>
      <c r="D7" s="7" t="inlineStr">
        <is>
          <t>GNSS RTK测量法</t>
        </is>
      </c>
      <c r="E7" s="15" t="n"/>
      <c r="F7" s="15" t="n"/>
      <c r="G7" s="15" t="n"/>
      <c r="H7" s="16" t="n"/>
    </row>
    <row r="8">
      <c r="A8" s="8" t="inlineStr">
        <is>
          <t>断面特征点</t>
        </is>
      </c>
      <c r="B8" s="15" t="n"/>
      <c r="C8" s="15" t="n"/>
      <c r="D8" s="15" t="n"/>
      <c r="E8" s="15" t="n"/>
      <c r="F8" s="15" t="n"/>
      <c r="G8" s="15" t="n"/>
      <c r="H8" s="16" t="n"/>
    </row>
    <row r="9">
      <c r="A9" s="8" t="inlineStr">
        <is>
          <t>垂线号</t>
        </is>
      </c>
      <c r="B9" s="8" t="inlineStr">
        <is>
          <t>测量点</t>
        </is>
      </c>
      <c r="C9" s="9" t="inlineStr">
        <is>
          <t>断面信息</t>
        </is>
      </c>
      <c r="D9" s="15" t="n"/>
      <c r="E9" s="15" t="n"/>
      <c r="F9" s="15" t="n"/>
      <c r="G9" s="15" t="n"/>
      <c r="H9" s="16" t="n"/>
    </row>
    <row r="10">
      <c r="A10" s="18" t="n"/>
      <c r="B10" s="18" t="n"/>
      <c r="C10" s="2" t="inlineStr">
        <is>
          <t>13.距离(m)</t>
        </is>
      </c>
      <c r="D10" s="2" t="inlineStr">
        <is>
          <t>14.量距方向(°)</t>
        </is>
      </c>
      <c r="E10" s="4" t="inlineStr">
        <is>
          <t>15.河底高程(m)</t>
        </is>
      </c>
      <c r="F10" s="2" t="inlineStr">
        <is>
          <t>16.水面高程(m)</t>
        </is>
      </c>
      <c r="G10" s="2" t="inlineStr">
        <is>
          <t>17.经度(°)</t>
        </is>
      </c>
      <c r="H10" s="2" t="inlineStr">
        <is>
          <t>18.纬度(°)</t>
        </is>
      </c>
    </row>
    <row r="11">
      <c r="A11" s="19" t="n">
        <v>1</v>
      </c>
      <c r="B11" s="19" t="inlineStr">
        <is>
          <t>起点</t>
        </is>
      </c>
      <c r="C11" s="20" t="n">
        <v>0</v>
      </c>
      <c r="D11" s="21" t="n">
        <v>0</v>
      </c>
      <c r="E11" s="22" t="n">
        <v>37.947</v>
      </c>
      <c r="F11" s="22" t="n">
        <v>38.185</v>
      </c>
      <c r="G11" s="23" t="n">
        <v>115.552359</v>
      </c>
      <c r="H11" s="23" t="n">
        <v>29.64687</v>
      </c>
    </row>
    <row r="12">
      <c r="A12" s="19" t="n">
        <v>2</v>
      </c>
      <c r="B12" s="19" t="inlineStr">
        <is>
          <t>测点1</t>
        </is>
      </c>
      <c r="C12" s="20" t="n">
        <v>11.1</v>
      </c>
      <c r="D12" s="21" t="n">
        <v>312.9</v>
      </c>
      <c r="E12" s="22" t="n">
        <v>37.77500000000001</v>
      </c>
      <c r="F12" s="22" t="n">
        <v>37.79737182863384</v>
      </c>
      <c r="G12" s="23" t="n">
        <v>115.552437</v>
      </c>
      <c r="H12" s="23" t="n">
        <v>29.646798</v>
      </c>
    </row>
    <row r="13">
      <c r="A13" s="19" t="n">
        <v>3</v>
      </c>
      <c r="B13" s="19" t="inlineStr">
        <is>
          <t>测点2</t>
        </is>
      </c>
      <c r="C13" s="20" t="n">
        <v>23.6</v>
      </c>
      <c r="D13" s="21" t="n">
        <v>307.3</v>
      </c>
      <c r="E13" s="22" t="n">
        <v>37.971</v>
      </c>
      <c r="F13" s="22" t="n">
        <v>38.25585779485043</v>
      </c>
      <c r="G13" s="23" t="n">
        <v>115.552587</v>
      </c>
      <c r="H13" s="23" t="n">
        <v>29.64663</v>
      </c>
    </row>
    <row r="14">
      <c r="A14" s="19" t="n">
        <v>4</v>
      </c>
      <c r="B14" s="19" t="inlineStr">
        <is>
          <t>测点3</t>
        </is>
      </c>
      <c r="C14" s="20" t="n">
        <v>13.2</v>
      </c>
      <c r="D14" s="21" t="n">
        <v>311.7</v>
      </c>
      <c r="E14" s="22" t="n">
        <v>37.836</v>
      </c>
      <c r="F14" s="22" t="n">
        <v>38.195</v>
      </c>
      <c r="G14" s="23" t="n">
        <v>115.552679</v>
      </c>
      <c r="H14" s="23" t="n">
        <v>29.646542</v>
      </c>
    </row>
    <row r="15">
      <c r="A15" s="19" t="n">
        <v>5</v>
      </c>
      <c r="B15" s="19" t="inlineStr">
        <is>
          <t>测点4</t>
        </is>
      </c>
      <c r="C15" s="20" t="n">
        <v>16.7</v>
      </c>
      <c r="D15" s="21" t="n">
        <v>304.8</v>
      </c>
      <c r="E15" s="22" t="n">
        <v>37.68</v>
      </c>
      <c r="F15" s="22" t="n">
        <v>37.80712014513374</v>
      </c>
      <c r="G15" s="23" t="n">
        <v>115.552779</v>
      </c>
      <c r="H15" s="23" t="n">
        <v>29.64642</v>
      </c>
    </row>
    <row r="16">
      <c r="A16" s="19" t="n">
        <v>6</v>
      </c>
      <c r="B16" s="19" t="inlineStr">
        <is>
          <t>测点5</t>
        </is>
      </c>
      <c r="C16" s="20" t="n">
        <v>7.3</v>
      </c>
      <c r="D16" s="21" t="n">
        <v>297.5</v>
      </c>
      <c r="E16" s="22" t="n">
        <v>37.702</v>
      </c>
      <c r="F16" s="22" t="n">
        <v>37.81502299738312</v>
      </c>
      <c r="G16" s="23" t="n">
        <v>115.552815</v>
      </c>
      <c r="H16" s="23" t="n">
        <v>29.646362</v>
      </c>
    </row>
    <row r="17">
      <c r="A17" s="19" t="n">
        <v>7</v>
      </c>
      <c r="B17" s="19" t="inlineStr">
        <is>
          <t>测点6</t>
        </is>
      </c>
      <c r="C17" s="20" t="n">
        <v>22</v>
      </c>
      <c r="D17" s="21" t="n">
        <v>289</v>
      </c>
      <c r="E17" s="22" t="n">
        <v>37.722</v>
      </c>
      <c r="F17" s="22" t="n">
        <v>38.20103219669989</v>
      </c>
      <c r="G17" s="23" t="n">
        <v>115.552892</v>
      </c>
      <c r="H17" s="23" t="n">
        <v>29.646175</v>
      </c>
    </row>
    <row r="18">
      <c r="A18" s="19" t="n">
        <v>8</v>
      </c>
      <c r="B18" s="19" t="inlineStr">
        <is>
          <t>测点7</t>
        </is>
      </c>
      <c r="C18" s="20" t="n">
        <v>12</v>
      </c>
      <c r="D18" s="21" t="n">
        <v>318.4</v>
      </c>
      <c r="E18" s="22" t="n">
        <v>37.677</v>
      </c>
      <c r="F18" s="22" t="n">
        <v>38.195</v>
      </c>
      <c r="G18" s="23" t="n">
        <v>115.552985</v>
      </c>
      <c r="H18" s="23" t="n">
        <v>29.646104</v>
      </c>
    </row>
    <row r="19">
      <c r="A19" s="19" t="n">
        <v>9</v>
      </c>
      <c r="B19" s="19" t="inlineStr">
        <is>
          <t>测点8</t>
        </is>
      </c>
      <c r="C19" s="20" t="n">
        <v>12.3</v>
      </c>
      <c r="D19" s="21" t="n">
        <v>320.4</v>
      </c>
      <c r="E19" s="22" t="n">
        <v>37.562</v>
      </c>
      <c r="F19" s="22" t="n">
        <v>37.94214855095166</v>
      </c>
      <c r="G19" s="23" t="n">
        <v>115.553084</v>
      </c>
      <c r="H19" s="23" t="n">
        <v>29.646034</v>
      </c>
    </row>
    <row r="20">
      <c r="A20" s="19" t="n">
        <v>10</v>
      </c>
      <c r="B20" s="19" t="inlineStr">
        <is>
          <t>测点9</t>
        </is>
      </c>
      <c r="C20" s="20" t="n">
        <v>19.3</v>
      </c>
      <c r="D20" s="21" t="n">
        <v>320.7</v>
      </c>
      <c r="E20" s="22" t="n">
        <v>37.463</v>
      </c>
      <c r="F20" s="22" t="n">
        <v>37.78333693934266</v>
      </c>
      <c r="G20" s="23" t="n">
        <v>115.553239</v>
      </c>
      <c r="H20" s="23" t="n">
        <v>29.645926</v>
      </c>
    </row>
    <row r="21">
      <c r="A21" s="19" t="n">
        <v>11</v>
      </c>
      <c r="B21" s="19" t="inlineStr">
        <is>
          <t>测点10</t>
        </is>
      </c>
      <c r="C21" s="20" t="n">
        <v>11.3</v>
      </c>
      <c r="D21" s="21" t="n">
        <v>317</v>
      </c>
      <c r="E21" s="22" t="n">
        <v>23.424</v>
      </c>
      <c r="F21" s="22" t="n">
        <v>37.59592765155913</v>
      </c>
      <c r="G21" s="23" t="n">
        <v>115.553326</v>
      </c>
      <c r="H21" s="23" t="n">
        <v>29.645857</v>
      </c>
    </row>
    <row r="22">
      <c r="A22" s="19" t="n">
        <v>12</v>
      </c>
      <c r="B22" s="19" t="inlineStr">
        <is>
          <t>测点11</t>
        </is>
      </c>
      <c r="C22" s="20" t="n">
        <v>10.9</v>
      </c>
      <c r="D22" s="21" t="n">
        <v>309</v>
      </c>
      <c r="E22" s="22" t="n">
        <v>37.181</v>
      </c>
      <c r="F22" s="22" t="n">
        <v>37.52488276681506</v>
      </c>
      <c r="G22" s="23" t="n">
        <v>115.553398</v>
      </c>
      <c r="H22" s="23" t="n">
        <v>29.645781</v>
      </c>
    </row>
    <row r="23">
      <c r="A23" s="19" t="n">
        <v>13</v>
      </c>
      <c r="B23" s="19" t="inlineStr">
        <is>
          <t>测点12</t>
        </is>
      </c>
      <c r="C23" s="20" t="n">
        <v>10.4</v>
      </c>
      <c r="D23" s="21" t="n">
        <v>295.4</v>
      </c>
      <c r="E23" s="22" t="n">
        <v>37.50700000000001</v>
      </c>
      <c r="F23" s="22" t="n">
        <v>37.78595547742502</v>
      </c>
      <c r="G23" s="23" t="n">
        <v>115.553445</v>
      </c>
      <c r="H23" s="23" t="n">
        <v>29.645697</v>
      </c>
    </row>
    <row r="24">
      <c r="A24" s="19" t="n">
        <v>14</v>
      </c>
      <c r="B24" s="19" t="inlineStr">
        <is>
          <t>测点13</t>
        </is>
      </c>
      <c r="C24" s="20" t="n">
        <v>7.9</v>
      </c>
      <c r="D24" s="21" t="n">
        <v>296.7</v>
      </c>
      <c r="E24" s="22" t="n">
        <v>37.433</v>
      </c>
      <c r="F24" s="22" t="n">
        <v>37.62301921442811</v>
      </c>
      <c r="G24" s="23" t="n">
        <v>115.553483</v>
      </c>
      <c r="H24" s="23" t="n">
        <v>29.645634</v>
      </c>
    </row>
    <row r="25">
      <c r="A25" s="19" t="n">
        <v>15</v>
      </c>
      <c r="B25" s="19" t="inlineStr">
        <is>
          <t>测点14</t>
        </is>
      </c>
      <c r="C25" s="20" t="n">
        <v>10.1</v>
      </c>
      <c r="D25" s="21" t="n">
        <v>250.8</v>
      </c>
      <c r="E25" s="22" t="n">
        <v>37.14100000000001</v>
      </c>
      <c r="F25" s="22" t="n">
        <v>37.21793462887193</v>
      </c>
      <c r="G25" s="23" t="n">
        <v>115.55345</v>
      </c>
      <c r="H25" s="23" t="n">
        <v>29.645548</v>
      </c>
    </row>
    <row r="26">
      <c r="A26" s="19" t="n">
        <v>16</v>
      </c>
      <c r="B26" s="19" t="inlineStr">
        <is>
          <t>测点15</t>
        </is>
      </c>
      <c r="C26" s="20" t="n">
        <v>19.6</v>
      </c>
      <c r="D26" s="21" t="n">
        <v>258.7</v>
      </c>
      <c r="E26" s="22" t="n">
        <v>37.062</v>
      </c>
      <c r="F26" s="22" t="n">
        <v>37.2295970894906</v>
      </c>
      <c r="G26" s="23" t="n">
        <v>115.553413</v>
      </c>
      <c r="H26" s="23" t="n">
        <v>29.645374</v>
      </c>
    </row>
    <row r="27">
      <c r="A27" s="19" t="n">
        <v>17</v>
      </c>
      <c r="B27" s="19" t="inlineStr">
        <is>
          <t>测点16</t>
        </is>
      </c>
      <c r="C27" s="20" t="n">
        <v>23.2</v>
      </c>
      <c r="D27" s="21" t="n">
        <v>245</v>
      </c>
      <c r="E27" s="22" t="n">
        <v>37.193</v>
      </c>
      <c r="F27" s="22" t="n">
        <v>37.54379265096229</v>
      </c>
      <c r="G27" s="23" t="n">
        <v>115.553314</v>
      </c>
      <c r="H27" s="23" t="n">
        <v>29.645183</v>
      </c>
    </row>
    <row r="28">
      <c r="A28" s="19" t="n">
        <v>18</v>
      </c>
      <c r="B28" s="19" t="inlineStr">
        <is>
          <t>测点17</t>
        </is>
      </c>
      <c r="C28" s="20" t="n">
        <v>9.6</v>
      </c>
      <c r="D28" s="21" t="n">
        <v>238.6</v>
      </c>
      <c r="E28" s="22" t="n">
        <v>37.223</v>
      </c>
      <c r="F28" s="22" t="n">
        <v>37.23355760054425</v>
      </c>
      <c r="G28" s="23" t="n">
        <v>115.553264</v>
      </c>
      <c r="H28" s="23" t="n">
        <v>29.645109</v>
      </c>
    </row>
    <row r="29">
      <c r="A29" s="19" t="n">
        <v>19</v>
      </c>
      <c r="B29" s="19" t="inlineStr">
        <is>
          <t>测点18</t>
        </is>
      </c>
      <c r="C29" s="20" t="n">
        <v>16.5</v>
      </c>
      <c r="D29" s="21" t="n">
        <v>228.8</v>
      </c>
      <c r="E29" s="22" t="n">
        <v>36.926</v>
      </c>
      <c r="F29" s="22" t="n">
        <v>37.34020537842607</v>
      </c>
      <c r="G29" s="23" t="n">
        <v>115.553153</v>
      </c>
      <c r="H29" s="23" t="n">
        <v>29.644996</v>
      </c>
    </row>
    <row r="30">
      <c r="A30" s="19" t="n">
        <v>20</v>
      </c>
      <c r="B30" s="19" t="inlineStr">
        <is>
          <t>测点19</t>
        </is>
      </c>
      <c r="C30" s="20" t="n">
        <v>10.7</v>
      </c>
      <c r="D30" s="21" t="n">
        <v>227.4</v>
      </c>
      <c r="E30" s="22" t="n">
        <v>36.839</v>
      </c>
      <c r="F30" s="22" t="n">
        <v>37.10060573956875</v>
      </c>
      <c r="G30" s="23" t="n">
        <v>115.553079</v>
      </c>
      <c r="H30" s="23" t="n">
        <v>29.644924</v>
      </c>
    </row>
    <row r="31">
      <c r="A31" s="19" t="n">
        <v>21</v>
      </c>
      <c r="B31" s="19" t="inlineStr">
        <is>
          <t>测点20</t>
        </is>
      </c>
      <c r="C31" s="20" t="n">
        <v>15.3</v>
      </c>
      <c r="D31" s="21" t="n">
        <v>198.4</v>
      </c>
      <c r="E31" s="22" t="n">
        <v>36.65000000000001</v>
      </c>
      <c r="F31" s="22" t="n">
        <v>36.86885191365486</v>
      </c>
      <c r="G31" s="23" t="n">
        <v>115.55293</v>
      </c>
      <c r="H31" s="23" t="n">
        <v>29.644879</v>
      </c>
    </row>
    <row r="32">
      <c r="A32" s="19" t="n">
        <v>22</v>
      </c>
      <c r="B32" s="19" t="inlineStr">
        <is>
          <t>测点21</t>
        </is>
      </c>
      <c r="C32" s="20" t="n">
        <v>13.7</v>
      </c>
      <c r="D32" s="21" t="n">
        <v>197.9</v>
      </c>
      <c r="E32" s="22" t="n">
        <v>36.75</v>
      </c>
      <c r="F32" s="22" t="n">
        <v>36.83805127311354</v>
      </c>
      <c r="G32" s="23" t="n">
        <v>115.552796</v>
      </c>
      <c r="H32" s="23" t="n">
        <v>29.644839</v>
      </c>
    </row>
    <row r="33">
      <c r="A33" s="19" t="n">
        <v>23</v>
      </c>
      <c r="B33" s="19" t="inlineStr">
        <is>
          <t>测点22</t>
        </is>
      </c>
      <c r="C33" s="20" t="n">
        <v>16.2</v>
      </c>
      <c r="D33" s="21" t="n">
        <v>183.6</v>
      </c>
      <c r="E33" s="22" t="n">
        <v>36.717</v>
      </c>
      <c r="F33" s="22" t="n">
        <v>36.82798230438367</v>
      </c>
      <c r="G33" s="23" t="n">
        <v>115.552629</v>
      </c>
      <c r="H33" s="23" t="n">
        <v>29.644828</v>
      </c>
    </row>
    <row r="34">
      <c r="A34" s="19" t="n">
        <v>24</v>
      </c>
      <c r="B34" s="19" t="inlineStr">
        <is>
          <t>测点23</t>
        </is>
      </c>
      <c r="C34" s="20" t="n">
        <v>5.3</v>
      </c>
      <c r="D34" s="21" t="n">
        <v>197.8</v>
      </c>
      <c r="E34" s="22" t="n">
        <v>36.594</v>
      </c>
      <c r="F34" s="22" t="n">
        <v>36.74823572494175</v>
      </c>
      <c r="G34" s="23" t="n">
        <v>115.552577</v>
      </c>
      <c r="H34" s="23" t="n">
        <v>29.644813</v>
      </c>
    </row>
    <row r="35">
      <c r="A35" s="19" t="n">
        <v>25</v>
      </c>
      <c r="B35" s="19" t="inlineStr">
        <is>
          <t>测点24</t>
        </is>
      </c>
      <c r="C35" s="20" t="n">
        <v>14.9</v>
      </c>
      <c r="D35" s="21" t="n">
        <v>196.1</v>
      </c>
      <c r="E35" s="22" t="n">
        <v>36.375</v>
      </c>
      <c r="F35" s="22" t="n">
        <v>36.38466707500137</v>
      </c>
      <c r="G35" s="23" t="n">
        <v>115.55243</v>
      </c>
      <c r="H35" s="23" t="n">
        <v>29.644774</v>
      </c>
    </row>
    <row r="36">
      <c r="A36" s="19" t="n">
        <v>26</v>
      </c>
      <c r="B36" s="19" t="inlineStr">
        <is>
          <t>测点25</t>
        </is>
      </c>
      <c r="C36" s="20" t="n">
        <v>15.7</v>
      </c>
      <c r="D36" s="21" t="n">
        <v>210.4</v>
      </c>
      <c r="E36" s="22" t="n">
        <v>36.443</v>
      </c>
      <c r="F36" s="22" t="n">
        <v>36.76972127652003</v>
      </c>
      <c r="G36" s="23" t="n">
        <v>115.552291</v>
      </c>
      <c r="H36" s="23" t="n">
        <v>29.644701</v>
      </c>
    </row>
    <row r="37">
      <c r="A37" s="19" t="n">
        <v>27</v>
      </c>
      <c r="B37" s="19" t="inlineStr">
        <is>
          <t>测点26</t>
        </is>
      </c>
      <c r="C37" s="20" t="n">
        <v>10.2</v>
      </c>
      <c r="D37" s="21" t="n">
        <v>210.2</v>
      </c>
      <c r="E37" s="22" t="n">
        <v>36.739</v>
      </c>
      <c r="F37" s="22" t="n">
        <v>36.79492274572974</v>
      </c>
      <c r="G37" s="23" t="n">
        <v>115.552201</v>
      </c>
      <c r="H37" s="23" t="n">
        <v>29.644654</v>
      </c>
    </row>
    <row r="38">
      <c r="A38" s="19" t="n">
        <v>28</v>
      </c>
      <c r="B38" s="19" t="inlineStr">
        <is>
          <t>测点27</t>
        </is>
      </c>
      <c r="C38" s="20" t="n">
        <v>6.1</v>
      </c>
      <c r="D38" s="21" t="n">
        <v>219</v>
      </c>
      <c r="E38" s="22" t="n">
        <v>36.596</v>
      </c>
      <c r="F38" s="22" t="n">
        <v>36.73704898312964</v>
      </c>
      <c r="G38" s="23" t="n">
        <v>115.552152</v>
      </c>
      <c r="H38" s="23" t="n">
        <v>29.644619</v>
      </c>
    </row>
    <row r="39">
      <c r="A39" s="19" t="n">
        <v>29</v>
      </c>
      <c r="B39" s="19" t="inlineStr">
        <is>
          <t>测点28</t>
        </is>
      </c>
      <c r="C39" s="20" t="n">
        <v>17.3</v>
      </c>
      <c r="D39" s="21" t="n">
        <v>226.1</v>
      </c>
      <c r="E39" s="22" t="n">
        <v>36.484</v>
      </c>
      <c r="F39" s="22" t="n">
        <v>36.73813105021414</v>
      </c>
      <c r="G39" s="23" t="n">
        <v>115.55203</v>
      </c>
      <c r="H39" s="23" t="n">
        <v>29.644505</v>
      </c>
    </row>
    <row r="40">
      <c r="A40" s="19" t="n">
        <v>30</v>
      </c>
      <c r="B40" s="19" t="inlineStr">
        <is>
          <t>测点29</t>
        </is>
      </c>
      <c r="C40" s="20" t="n">
        <v>12.2</v>
      </c>
      <c r="D40" s="21" t="n">
        <v>232.6</v>
      </c>
      <c r="E40" s="22" t="n">
        <v>36.39100000000001</v>
      </c>
      <c r="F40" s="22" t="n">
        <v>36.65423021087696</v>
      </c>
      <c r="G40" s="23" t="n">
        <v>115.551955</v>
      </c>
      <c r="H40" s="23" t="n">
        <v>29.644417</v>
      </c>
    </row>
    <row r="41">
      <c r="A41" s="19" t="n">
        <v>31</v>
      </c>
      <c r="B41" s="19" t="inlineStr">
        <is>
          <t>测点30</t>
        </is>
      </c>
      <c r="C41" s="20" t="n">
        <v>7.1</v>
      </c>
      <c r="D41" s="21" t="n">
        <v>277.6</v>
      </c>
      <c r="E41" s="22" t="n">
        <v>36.367</v>
      </c>
      <c r="F41" s="22" t="n">
        <v>36.49177278442244</v>
      </c>
      <c r="G41" s="23" t="n">
        <v>115.551965</v>
      </c>
      <c r="H41" s="23" t="n">
        <v>29.644353</v>
      </c>
    </row>
    <row r="42">
      <c r="A42" s="19" t="n">
        <v>32</v>
      </c>
      <c r="B42" s="19" t="inlineStr">
        <is>
          <t>测点31</t>
        </is>
      </c>
      <c r="C42" s="20" t="n">
        <v>20.8</v>
      </c>
      <c r="D42" s="21" t="n">
        <v>248.8</v>
      </c>
      <c r="E42" s="22" t="n">
        <v>36.366</v>
      </c>
      <c r="F42" s="22" t="n">
        <v>36.43590936985191</v>
      </c>
      <c r="G42" s="23" t="n">
        <v>115.55189</v>
      </c>
      <c r="H42" s="23" t="n">
        <v>29.644178</v>
      </c>
    </row>
    <row r="43">
      <c r="A43" s="19" t="n">
        <v>33</v>
      </c>
      <c r="B43" s="19" t="inlineStr">
        <is>
          <t>测点32</t>
        </is>
      </c>
      <c r="C43" s="20" t="n">
        <v>14.3</v>
      </c>
      <c r="D43" s="21" t="n">
        <v>250.9</v>
      </c>
      <c r="E43" s="22" t="n">
        <v>36.252</v>
      </c>
      <c r="F43" s="22" t="n">
        <v>36.32079512094032</v>
      </c>
      <c r="G43" s="23" t="n">
        <v>115.551844</v>
      </c>
      <c r="H43" s="23" t="n">
        <v>29.644055</v>
      </c>
    </row>
    <row r="44">
      <c r="A44" s="19" t="n">
        <v>34</v>
      </c>
      <c r="B44" s="19" t="inlineStr">
        <is>
          <t>测点33</t>
        </is>
      </c>
      <c r="C44" s="20" t="n">
        <v>6.4</v>
      </c>
      <c r="D44" s="21" t="n">
        <v>283</v>
      </c>
      <c r="E44" s="22" t="n">
        <v>36.186</v>
      </c>
      <c r="F44" s="22" t="n">
        <v>36.30157609029915</v>
      </c>
      <c r="G44" s="23" t="n">
        <v>115.551859</v>
      </c>
      <c r="H44" s="23" t="n">
        <v>29.643999</v>
      </c>
    </row>
    <row r="45">
      <c r="A45" s="19" t="n">
        <v>35</v>
      </c>
      <c r="B45" s="19" t="inlineStr">
        <is>
          <t>测点34</t>
        </is>
      </c>
      <c r="C45" s="20" t="n">
        <v>12.4</v>
      </c>
      <c r="D45" s="21" t="n">
        <v>292.8</v>
      </c>
      <c r="E45" s="22" t="n">
        <v>36.247</v>
      </c>
      <c r="F45" s="22" t="n">
        <v>36.43554027837539</v>
      </c>
      <c r="G45" s="23" t="n">
        <v>115.55191</v>
      </c>
      <c r="H45" s="23" t="n">
        <v>29.643897</v>
      </c>
    </row>
    <row r="46">
      <c r="A46" s="19" t="n">
        <v>36</v>
      </c>
      <c r="B46" s="19" t="inlineStr">
        <is>
          <t>测点35</t>
        </is>
      </c>
      <c r="C46" s="20" t="n">
        <v>20.2</v>
      </c>
      <c r="D46" s="21" t="n">
        <v>285.6</v>
      </c>
      <c r="E46" s="22" t="n">
        <v>36.089</v>
      </c>
      <c r="F46" s="22" t="n">
        <v>36.43451777261245</v>
      </c>
      <c r="G46" s="23" t="n">
        <v>115.551969</v>
      </c>
      <c r="H46" s="23" t="n">
        <v>29.643722</v>
      </c>
    </row>
    <row r="47">
      <c r="A47" s="19" t="n">
        <v>37</v>
      </c>
      <c r="B47" s="19" t="inlineStr">
        <is>
          <t>测点36</t>
        </is>
      </c>
      <c r="C47" s="20" t="n">
        <v>25.8</v>
      </c>
      <c r="D47" s="21" t="n">
        <v>293.1</v>
      </c>
      <c r="E47" s="22" t="n">
        <v>36.035</v>
      </c>
      <c r="F47" s="22" t="n">
        <v>36.058355955737</v>
      </c>
      <c r="G47" s="23" t="n">
        <v>115.552076</v>
      </c>
      <c r="H47" s="23" t="n">
        <v>29.643509</v>
      </c>
    </row>
    <row r="48">
      <c r="A48" s="19" t="n">
        <v>38</v>
      </c>
      <c r="B48" s="19" t="inlineStr">
        <is>
          <t>测点37</t>
        </is>
      </c>
      <c r="C48" s="20" t="n">
        <v>14.5</v>
      </c>
      <c r="D48" s="21" t="n">
        <v>290.3</v>
      </c>
      <c r="E48" s="22" t="n">
        <v>35.984</v>
      </c>
      <c r="F48" s="22" t="n">
        <v>36.00680671077331</v>
      </c>
      <c r="G48" s="23" t="n">
        <v>115.55213</v>
      </c>
      <c r="H48" s="23" t="n">
        <v>29.643387</v>
      </c>
    </row>
    <row r="49">
      <c r="A49" s="19" t="n">
        <v>39</v>
      </c>
      <c r="B49" s="19" t="inlineStr">
        <is>
          <t>测点38</t>
        </is>
      </c>
      <c r="C49" s="20" t="n">
        <v>26.5</v>
      </c>
      <c r="D49" s="21" t="n">
        <v>315.4</v>
      </c>
      <c r="E49" s="22" t="n">
        <v>35.806</v>
      </c>
      <c r="F49" s="22" t="n">
        <v>35.80894855739565</v>
      </c>
      <c r="G49" s="23" t="n">
        <v>115.552327</v>
      </c>
      <c r="H49" s="23" t="n">
        <v>29.643221</v>
      </c>
    </row>
    <row r="50">
      <c r="A50" s="19" t="n">
        <v>40</v>
      </c>
      <c r="B50" s="19" t="inlineStr">
        <is>
          <t>测点39</t>
        </is>
      </c>
      <c r="C50" s="20" t="n">
        <v>18.4</v>
      </c>
      <c r="D50" s="21" t="n">
        <v>309.4</v>
      </c>
      <c r="E50" s="22" t="n">
        <v>35.78</v>
      </c>
      <c r="F50" s="22" t="n">
        <v>36.0411269408946</v>
      </c>
      <c r="G50" s="23" t="n">
        <v>115.55245</v>
      </c>
      <c r="H50" s="23" t="n">
        <v>29.643094</v>
      </c>
    </row>
    <row r="51">
      <c r="A51" s="19" t="n">
        <v>41</v>
      </c>
      <c r="B51" s="19" t="inlineStr">
        <is>
          <t>测点40</t>
        </is>
      </c>
      <c r="C51" s="20" t="n">
        <v>5</v>
      </c>
      <c r="D51" s="21" t="n">
        <v>305.5</v>
      </c>
      <c r="E51" s="22" t="n">
        <v>35.633</v>
      </c>
      <c r="F51" s="22" t="n">
        <v>35.82037881739273</v>
      </c>
      <c r="G51" s="23" t="n">
        <v>115.55248</v>
      </c>
      <c r="H51" s="23" t="n">
        <v>29.643058</v>
      </c>
    </row>
    <row r="52">
      <c r="A52" s="19" t="n">
        <v>42</v>
      </c>
      <c r="B52" s="19" t="inlineStr">
        <is>
          <t>测点41</t>
        </is>
      </c>
      <c r="C52" s="20" t="n">
        <v>24.5</v>
      </c>
      <c r="D52" s="21" t="n">
        <v>330.5</v>
      </c>
      <c r="E52" s="22" t="n">
        <v>35.823</v>
      </c>
      <c r="F52" s="22" t="n">
        <v>36.2591780089376</v>
      </c>
      <c r="G52" s="23" t="n">
        <v>115.552702</v>
      </c>
      <c r="H52" s="23" t="n">
        <v>29.642952</v>
      </c>
    </row>
    <row r="53">
      <c r="A53" s="19" t="n">
        <v>43</v>
      </c>
      <c r="B53" s="19" t="inlineStr">
        <is>
          <t>测点42</t>
        </is>
      </c>
      <c r="C53" s="20" t="n">
        <v>23.8</v>
      </c>
      <c r="D53" s="21" t="n">
        <v>314.7</v>
      </c>
      <c r="E53" s="22" t="n">
        <v>35.681</v>
      </c>
      <c r="F53" s="22" t="n">
        <v>36.00190176887386</v>
      </c>
      <c r="G53" s="23" t="n">
        <v>115.552877</v>
      </c>
      <c r="H53" s="23" t="n">
        <v>29.642801</v>
      </c>
    </row>
    <row r="54">
      <c r="A54" s="19" t="n">
        <v>44</v>
      </c>
      <c r="B54" s="19" t="inlineStr">
        <is>
          <t>测点43</t>
        </is>
      </c>
      <c r="C54" s="20" t="n">
        <v>15.5</v>
      </c>
      <c r="D54" s="21" t="n">
        <v>316.9</v>
      </c>
      <c r="E54" s="22" t="n">
        <v>35.624</v>
      </c>
      <c r="F54" s="22" t="n">
        <v>35.92496231975727</v>
      </c>
      <c r="G54" s="23" t="n">
        <v>115.552995</v>
      </c>
      <c r="H54" s="23" t="n">
        <v>29.642707</v>
      </c>
    </row>
    <row r="55">
      <c r="A55" s="19" t="n">
        <v>45</v>
      </c>
      <c r="B55" s="19" t="inlineStr">
        <is>
          <t>测点44</t>
        </is>
      </c>
      <c r="C55" s="20" t="n">
        <v>17.3</v>
      </c>
      <c r="D55" s="21" t="n">
        <v>324.1</v>
      </c>
      <c r="E55" s="22" t="n">
        <v>35.518</v>
      </c>
      <c r="F55" s="22" t="n">
        <v>35.90015531775501</v>
      </c>
      <c r="G55" s="23" t="n">
        <v>115.553141</v>
      </c>
      <c r="H55" s="23" t="n">
        <v>29.642617</v>
      </c>
    </row>
    <row r="56">
      <c r="A56" s="19" t="n">
        <v>46</v>
      </c>
      <c r="B56" s="19" t="inlineStr">
        <is>
          <t>测点45</t>
        </is>
      </c>
      <c r="C56" s="20" t="n">
        <v>68.40000000000001</v>
      </c>
      <c r="D56" s="21" t="n">
        <v>335.2</v>
      </c>
      <c r="E56" s="22" t="n">
        <v>35.351</v>
      </c>
      <c r="F56" s="22" t="n">
        <v>35.73089234200043</v>
      </c>
      <c r="G56" s="23" t="n">
        <v>115.553786</v>
      </c>
      <c r="H56" s="23" t="n">
        <v>29.642366</v>
      </c>
    </row>
  </sheetData>
  <mergeCells count="11">
    <mergeCell ref="B9:B10"/>
    <mergeCell ref="D7:H7"/>
    <mergeCell ref="D6:H6"/>
    <mergeCell ref="A9:A10"/>
    <mergeCell ref="D2:H2"/>
    <mergeCell ref="C9:H9"/>
    <mergeCell ref="D5:H5"/>
    <mergeCell ref="A1:H1"/>
    <mergeCell ref="D4:H4"/>
    <mergeCell ref="A8:H8"/>
    <mergeCell ref="D3:H3"/>
  </mergeCells>
  <dataValidations count="4">
    <dataValidation sqref="D2:H2" showDropDown="0" showInputMessage="1" showErrorMessage="1" allowBlank="1" type="list">
      <formula1>"A,B"</formula1>
    </dataValidation>
    <dataValidation sqref="B5" showDropDown="0" showInputMessage="1" showErrorMessage="1" allowBlank="1" type="list">
      <formula1>"是,否"</formula1>
    </dataValidation>
    <dataValidation sqref="B7" showDropDown="0" showInputMessage="1" showErrorMessage="1" allowBlank="1" type="list">
      <formula1>"85高程系,假定高程系"</formula1>
    </dataValidation>
    <dataValidation sqref="D7:H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2026-05-15T09:27:56Z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8A5FE672FC214BB8B7227C21506E5987_13</vt:lpwstr>
  </property>
  <property name="KSOProductBuildVer" fmtid="{D5CDD505-2E9C-101B-9397-08002B2CF9AE}" pid="3">
    <vt:lpwstr>2052-12.8.2.18205</vt:lpwstr>
  </property>
</Properties>
</file>