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纵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_ "/>
    <numFmt numFmtId="165" formatCode="0.0"/>
    <numFmt numFmtId="166" formatCode="0.000"/>
    <numFmt numFmtId="167" formatCode="0.0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20"/>
  <sheetViews>
    <sheetView tabSelected="1" workbookViewId="0">
      <selection activeCell="H22" sqref="H22"/>
    </sheetView>
  </sheetViews>
  <sheetFormatPr baseColWidth="8" defaultColWidth="9" defaultRowHeight="14"/>
  <cols>
    <col width="18.81640625" customWidth="1" min="1" max="1"/>
    <col width="26.7265625" customWidth="1" min="2" max="2"/>
    <col width="19.6328125" customWidth="1" min="3" max="3"/>
    <col width="19.7265625" bestFit="1" customWidth="1" min="4" max="4"/>
    <col width="16.6328125" customWidth="1" min="5" max="5"/>
    <col width="15.08984375" customWidth="1" min="6" max="6"/>
    <col width="12.7265625" customWidth="1" min="7" max="7"/>
    <col width="15" bestFit="1" customWidth="1" min="8" max="8"/>
  </cols>
  <sheetData>
    <row r="1">
      <c r="A1" s="11" t="inlineStr">
        <is>
          <t>沟道纵断面测量成果表</t>
        </is>
      </c>
    </row>
    <row r="2">
      <c r="A2" s="2" t="inlineStr">
        <is>
          <t>1.所在位置</t>
        </is>
      </c>
      <c r="B2" s="5" t="inlineStr">
        <is>
          <t>瑞昌市桂林街道办事处桂林村桂林桥</t>
        </is>
      </c>
      <c r="C2" s="2" t="inlineStr">
        <is>
          <t>2.断面类别</t>
        </is>
      </c>
      <c r="D2" s="13" t="inlineStr">
        <is>
          <t>A</t>
        </is>
      </c>
      <c r="E2" s="15" t="n"/>
      <c r="F2" s="15" t="n"/>
      <c r="G2" s="15" t="n"/>
      <c r="H2" s="16" t="n"/>
    </row>
    <row r="3">
      <c r="A3" s="2" t="inlineStr">
        <is>
          <t>3.所在沟道</t>
        </is>
      </c>
      <c r="B3" s="13" t="inlineStr">
        <is>
          <t>洪山源水</t>
        </is>
      </c>
      <c r="C3" s="2" t="inlineStr">
        <is>
          <t>4.河流代码</t>
        </is>
      </c>
      <c r="D3" s="14" t="inlineStr">
        <is>
          <t>AFAE900121F00000Z</t>
        </is>
      </c>
      <c r="E3" s="15" t="n"/>
      <c r="F3" s="15" t="n"/>
      <c r="G3" s="15" t="n"/>
      <c r="H3" s="16" t="n"/>
    </row>
    <row r="4">
      <c r="A4" s="2" t="inlineStr">
        <is>
          <t>5.断面名称</t>
        </is>
      </c>
      <c r="B4" s="13" t="inlineStr">
        <is>
          <t>洪山源水CS003</t>
        </is>
      </c>
      <c r="C4" s="2" t="inlineStr">
        <is>
          <t>6.行政区划代码</t>
        </is>
      </c>
      <c r="D4" s="14" t="inlineStr">
        <is>
          <t>360481002211000</t>
        </is>
      </c>
      <c r="E4" s="15" t="n"/>
      <c r="F4" s="15" t="n"/>
      <c r="G4" s="15" t="n"/>
      <c r="H4" s="16" t="n"/>
    </row>
    <row r="5">
      <c r="A5" s="2" t="inlineStr">
        <is>
          <t>7.是否跨县</t>
        </is>
      </c>
      <c r="B5" s="13" t="inlineStr">
        <is>
          <t>否</t>
        </is>
      </c>
      <c r="C5" s="2" t="inlineStr">
        <is>
          <t>8.控制点经度(°)</t>
        </is>
      </c>
      <c r="D5" s="13" t="n">
        <v>115.616294</v>
      </c>
      <c r="E5" s="15" t="n"/>
      <c r="F5" s="15" t="n"/>
      <c r="G5" s="15" t="n"/>
      <c r="H5" s="16" t="n"/>
    </row>
    <row r="6" ht="15" customHeight="1">
      <c r="A6" s="2" t="inlineStr">
        <is>
          <t>9.控制点纬度（°）</t>
        </is>
      </c>
      <c r="B6" s="13" t="n">
        <v>29.642882</v>
      </c>
      <c r="C6" s="2" t="inlineStr">
        <is>
          <t>10.控制点高程(m)</t>
        </is>
      </c>
      <c r="D6" s="17" t="n">
        <v>23.933</v>
      </c>
      <c r="E6" s="15" t="n"/>
      <c r="F6" s="15" t="n"/>
      <c r="G6" s="15" t="n"/>
      <c r="H6" s="16" t="n"/>
    </row>
    <row r="7" ht="15" customHeight="1">
      <c r="A7" s="2" t="inlineStr">
        <is>
          <t>11.高程系</t>
        </is>
      </c>
      <c r="B7" s="7" t="inlineStr">
        <is>
          <t>85高程系</t>
        </is>
      </c>
      <c r="C7" s="2" t="inlineStr">
        <is>
          <t>12.测量方法</t>
        </is>
      </c>
      <c r="D7" s="7" t="inlineStr">
        <is>
          <t>GNSS RTK测量法</t>
        </is>
      </c>
      <c r="E7" s="15" t="n"/>
      <c r="F7" s="15" t="n"/>
      <c r="G7" s="15" t="n"/>
      <c r="H7" s="16" t="n"/>
    </row>
    <row r="8">
      <c r="A8" s="8" t="inlineStr">
        <is>
          <t>断面特征点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8" t="inlineStr">
        <is>
          <t>垂线号</t>
        </is>
      </c>
      <c r="B9" s="8" t="inlineStr">
        <is>
          <t>测量点</t>
        </is>
      </c>
      <c r="C9" s="9" t="inlineStr">
        <is>
          <t>断面信息</t>
        </is>
      </c>
      <c r="D9" s="15" t="n"/>
      <c r="E9" s="15" t="n"/>
      <c r="F9" s="15" t="n"/>
      <c r="G9" s="15" t="n"/>
      <c r="H9" s="16" t="n"/>
    </row>
    <row r="10">
      <c r="A10" s="18" t="n"/>
      <c r="B10" s="18" t="n"/>
      <c r="C10" s="2" t="inlineStr">
        <is>
          <t>13.距离(m)</t>
        </is>
      </c>
      <c r="D10" s="2" t="inlineStr">
        <is>
          <t>14.量距方向(°)</t>
        </is>
      </c>
      <c r="E10" s="4" t="inlineStr">
        <is>
          <t>15.河底高程(m)</t>
        </is>
      </c>
      <c r="F10" s="2" t="inlineStr">
        <is>
          <t>16.水面高程(m)</t>
        </is>
      </c>
      <c r="G10" s="2" t="inlineStr">
        <is>
          <t>17.经度(°)</t>
        </is>
      </c>
      <c r="H10" s="2" t="inlineStr">
        <is>
          <t>18.纬度(°)</t>
        </is>
      </c>
    </row>
    <row r="11">
      <c r="A11" s="19" t="n">
        <v>1</v>
      </c>
      <c r="B11" s="19" t="inlineStr">
        <is>
          <t>起点</t>
        </is>
      </c>
      <c r="C11" s="20" t="n">
        <v>0</v>
      </c>
      <c r="D11" s="21" t="n">
        <v>0</v>
      </c>
      <c r="E11" s="22" t="n">
        <v>19.202</v>
      </c>
      <c r="F11" s="22" t="n">
        <v>19.57228411537378</v>
      </c>
      <c r="G11" s="23" t="n">
        <v>115.615752</v>
      </c>
      <c r="H11" s="23" t="n">
        <v>29.644924</v>
      </c>
    </row>
    <row r="12">
      <c r="A12" s="19" t="n">
        <v>2</v>
      </c>
      <c r="B12" s="19" t="inlineStr">
        <is>
          <t>测点1</t>
        </is>
      </c>
      <c r="C12" s="20" t="n">
        <v>33.7</v>
      </c>
      <c r="D12" s="21" t="n">
        <v>280.3</v>
      </c>
      <c r="E12" s="22" t="n">
        <v>18.947</v>
      </c>
      <c r="F12" s="22" t="n">
        <v>19.06979997762084</v>
      </c>
      <c r="G12" s="23" t="n">
        <v>115.615819</v>
      </c>
      <c r="H12" s="23" t="n">
        <v>29.644626</v>
      </c>
    </row>
    <row r="13">
      <c r="A13" s="19" t="n">
        <v>3</v>
      </c>
      <c r="B13" s="19" t="inlineStr">
        <is>
          <t>测点2</t>
        </is>
      </c>
      <c r="C13" s="20" t="n">
        <v>47.3</v>
      </c>
      <c r="D13" s="21" t="n">
        <v>274.9</v>
      </c>
      <c r="E13" s="22" t="n">
        <v>18.705</v>
      </c>
      <c r="F13" s="22" t="n">
        <v>19.11370135315824</v>
      </c>
      <c r="G13" s="23" t="n">
        <v>115.615866</v>
      </c>
      <c r="H13" s="23" t="n">
        <v>29.644201</v>
      </c>
    </row>
    <row r="14">
      <c r="A14" s="19" t="n">
        <v>4</v>
      </c>
      <c r="B14" s="19" t="inlineStr">
        <is>
          <t>测点3</t>
        </is>
      </c>
      <c r="C14" s="20" t="n">
        <v>36.8</v>
      </c>
      <c r="D14" s="21" t="n">
        <v>277.4</v>
      </c>
      <c r="E14" s="22" t="n">
        <v>18.667</v>
      </c>
      <c r="F14" s="22" t="n">
        <v>19.10556102689881</v>
      </c>
      <c r="G14" s="23" t="n">
        <v>115.61592</v>
      </c>
      <c r="H14" s="23" t="n">
        <v>29.643873</v>
      </c>
    </row>
    <row r="15">
      <c r="A15" s="19" t="n">
        <v>5</v>
      </c>
      <c r="B15" s="19" t="inlineStr">
        <is>
          <t>测点4</t>
        </is>
      </c>
      <c r="C15" s="20" t="n">
        <v>33.7</v>
      </c>
      <c r="D15" s="21" t="n">
        <v>278</v>
      </c>
      <c r="E15" s="22" t="n">
        <v>18.619</v>
      </c>
      <c r="F15" s="22" t="n">
        <v>19.04956920845908</v>
      </c>
      <c r="G15" s="23" t="n">
        <v>115.615973</v>
      </c>
      <c r="H15" s="23" t="n">
        <v>29.643572</v>
      </c>
    </row>
    <row r="16">
      <c r="A16" s="19" t="n">
        <v>6</v>
      </c>
      <c r="B16" s="19" t="inlineStr">
        <is>
          <t>测点5</t>
        </is>
      </c>
      <c r="C16" s="20" t="n">
        <v>40.2</v>
      </c>
      <c r="D16" s="21" t="n">
        <v>279.5</v>
      </c>
      <c r="E16" s="22" t="n">
        <v>18.596</v>
      </c>
      <c r="F16" s="22" t="n">
        <v>19.016700270081</v>
      </c>
      <c r="G16" s="23" t="n">
        <v>115.616046</v>
      </c>
      <c r="H16" s="23" t="n">
        <v>29.643216</v>
      </c>
    </row>
    <row r="17">
      <c r="A17" s="19" t="n">
        <v>7</v>
      </c>
      <c r="B17" s="19" t="inlineStr">
        <is>
          <t>测点6</t>
        </is>
      </c>
      <c r="C17" s="20" t="n">
        <v>61.7</v>
      </c>
      <c r="D17" s="21" t="n">
        <v>280.4</v>
      </c>
      <c r="E17" s="22" t="n">
        <v>18.519</v>
      </c>
      <c r="F17" s="22" t="n">
        <v>18.65858248450539</v>
      </c>
      <c r="G17" s="23" t="n">
        <v>115.616168</v>
      </c>
      <c r="H17" s="23" t="n">
        <v>29.64267</v>
      </c>
    </row>
    <row r="18">
      <c r="A18" s="19" t="n">
        <v>8</v>
      </c>
      <c r="B18" s="19" t="inlineStr">
        <is>
          <t>测点7</t>
        </is>
      </c>
      <c r="C18" s="20" t="n">
        <v>36.7</v>
      </c>
      <c r="D18" s="21" t="n">
        <v>270.1</v>
      </c>
      <c r="E18" s="22" t="n">
        <v>18.359</v>
      </c>
      <c r="F18" s="22" t="n">
        <v>18.43142462907349</v>
      </c>
      <c r="G18" s="23" t="n">
        <v>115.616173</v>
      </c>
      <c r="H18" s="23" t="n">
        <v>29.642339</v>
      </c>
    </row>
    <row r="19">
      <c r="A19" s="19" t="n">
        <v>9</v>
      </c>
      <c r="B19" s="19" t="inlineStr">
        <is>
          <t>测点8</t>
        </is>
      </c>
      <c r="C19" s="20" t="n">
        <v>16.7</v>
      </c>
      <c r="D19" s="21" t="n">
        <v>261.7</v>
      </c>
      <c r="E19" s="22" t="n">
        <v>18.268</v>
      </c>
      <c r="F19" s="22" t="n">
        <v>18.32770581030562</v>
      </c>
      <c r="G19" s="23" t="n">
        <v>115.61615</v>
      </c>
      <c r="H19" s="23" t="n">
        <v>29.642189</v>
      </c>
    </row>
    <row r="20">
      <c r="A20" s="19" t="n">
        <v>10</v>
      </c>
      <c r="B20" s="19" t="inlineStr">
        <is>
          <t>测点9</t>
        </is>
      </c>
      <c r="C20" s="20" t="n">
        <v>24</v>
      </c>
      <c r="D20" s="21" t="n">
        <v>264.4</v>
      </c>
      <c r="E20" s="22" t="n">
        <v>18.214</v>
      </c>
      <c r="F20" s="22" t="n">
        <v>18.49469712210713</v>
      </c>
      <c r="G20" s="23" t="n">
        <v>115.616129</v>
      </c>
      <c r="H20" s="23" t="n">
        <v>29.641973</v>
      </c>
    </row>
  </sheetData>
  <mergeCells count="11">
    <mergeCell ref="B9:B10"/>
    <mergeCell ref="D7:H7"/>
    <mergeCell ref="D6:H6"/>
    <mergeCell ref="A9:A10"/>
    <mergeCell ref="D2:H2"/>
    <mergeCell ref="C9:H9"/>
    <mergeCell ref="D5:H5"/>
    <mergeCell ref="A1:H1"/>
    <mergeCell ref="D4:H4"/>
    <mergeCell ref="A8:H8"/>
    <mergeCell ref="D3:H3"/>
  </mergeCells>
  <dataValidations count="4">
    <dataValidation sqref="D2:H2" showDropDown="0" showInputMessage="1" showErrorMessage="1" allowBlank="1" type="list">
      <formula1>"A,B"</formula1>
    </dataValidation>
    <dataValidation sqref="B5" showDropDown="0" showInputMessage="1" showErrorMessage="1" allowBlank="1" type="list">
      <formula1>"是,否"</formula1>
    </dataValidation>
    <dataValidation sqref="B7" showDropDown="0" showInputMessage="1" showErrorMessage="1" allowBlank="1" type="list">
      <formula1>"85高程系,假定高程系"</formula1>
    </dataValidation>
    <dataValidation sqref="D7:H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8A5FE672FC214BB8B7227C21506E5987_13</vt:lpwstr>
  </property>
  <property name="KSOProductBuildVer" fmtid="{D5CDD505-2E9C-101B-9397-08002B2CF9AE}" pid="3">
    <vt:lpwstr>2052-12.8.2.18205</vt:lpwstr>
  </property>
</Properties>
</file>